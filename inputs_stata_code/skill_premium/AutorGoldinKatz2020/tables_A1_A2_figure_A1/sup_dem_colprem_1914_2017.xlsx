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z/Dropbox/agk_rbet_revisited/agkrbet_lk/"/>
    </mc:Choice>
  </mc:AlternateContent>
  <xr:revisionPtr revIDLastSave="0" documentId="13_ncr:1_{CE161E6D-982D-B940-AA76-950138680DC6}" xr6:coauthVersionLast="36" xr6:coauthVersionMax="36" xr10:uidLastSave="{00000000-0000-0000-0000-000000000000}"/>
  <bookViews>
    <workbookView xWindow="0" yWindow="460" windowWidth="25600" windowHeight="14540" xr2:uid="{918932CC-6867-8848-A078-37E2313EE6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D26" i="1"/>
  <c r="C26" i="1"/>
  <c r="D25" i="1"/>
  <c r="B25" i="1"/>
  <c r="C25" i="1"/>
  <c r="D19" i="1" l="1"/>
  <c r="C19" i="1"/>
  <c r="B19" i="1"/>
  <c r="D20" i="1"/>
  <c r="C20" i="1"/>
  <c r="B20" i="1"/>
  <c r="D17" i="1"/>
  <c r="C17" i="1"/>
  <c r="B17" i="1"/>
  <c r="B18" i="1"/>
  <c r="D18" i="1"/>
  <c r="C18" i="1"/>
  <c r="D21" i="1"/>
  <c r="C21" i="1"/>
  <c r="B21" i="1"/>
  <c r="F8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E12" i="1"/>
</calcChain>
</file>

<file path=xl/sharedStrings.xml><?xml version="1.0" encoding="utf-8"?>
<sst xmlns="http://schemas.openxmlformats.org/spreadsheetml/2006/main" count="22" uniqueCount="22">
  <si>
    <t>Wage</t>
  </si>
  <si>
    <t>wprem2</t>
  </si>
  <si>
    <t>Supply</t>
  </si>
  <si>
    <t>relsup</t>
  </si>
  <si>
    <t>Demand</t>
  </si>
  <si>
    <t>demand2</t>
  </si>
  <si>
    <t>sigma = 1.62</t>
  </si>
  <si>
    <t>1914 to 1939</t>
  </si>
  <si>
    <t>1939 to 1959</t>
  </si>
  <si>
    <t>1959 to 1979</t>
  </si>
  <si>
    <t>1979 to 1999</t>
  </si>
  <si>
    <t>1999 to 2017</t>
  </si>
  <si>
    <t>Source: table82_1417_new.log</t>
  </si>
  <si>
    <t>1914 to 2017</t>
  </si>
  <si>
    <t>1959 to 1999</t>
  </si>
  <si>
    <t>1914 to 1999</t>
  </si>
  <si>
    <t>1979 to 2017</t>
  </si>
  <si>
    <t>1939 to 1979</t>
  </si>
  <si>
    <t>79-17 - 39-79</t>
  </si>
  <si>
    <t>Wage explained</t>
  </si>
  <si>
    <t>Share</t>
  </si>
  <si>
    <t>Table A2: Changes in the College Wage Premium and Supply and Demand for Educated Workers, 1914 to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</si>
</sst>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4183-1D88-BF42-BAEC-EB5B0F6AB8D3}">
  <dimension ref="A1:F27"/>
  <sheetViews>
    <sheetView tabSelected="1" workbookViewId="0"/>
  </sheetViews>
  <sheetFormatPr baseColWidth="10" defaultRowHeight="16" x14ac:dyDescent="0.2"/>
  <cols>
    <col min="1" max="1" width="13.1640625" customWidth="1"/>
    <col min="4" max="4" width="12.33203125" customWidth="1"/>
  </cols>
  <sheetData>
    <row r="1" spans="1:6" x14ac:dyDescent="0.2">
      <c r="A1" t="s">
        <v>21</v>
      </c>
    </row>
    <row r="2" spans="1:6" x14ac:dyDescent="0.2">
      <c r="D2" t="s">
        <v>6</v>
      </c>
    </row>
    <row r="3" spans="1:6" x14ac:dyDescent="0.2">
      <c r="B3" t="s">
        <v>0</v>
      </c>
      <c r="C3" t="s">
        <v>2</v>
      </c>
      <c r="D3" t="s">
        <v>4</v>
      </c>
    </row>
    <row r="4" spans="1:6" x14ac:dyDescent="0.2">
      <c r="B4" t="s">
        <v>1</v>
      </c>
      <c r="C4" t="s">
        <v>3</v>
      </c>
      <c r="D4" t="s">
        <v>5</v>
      </c>
    </row>
    <row r="5" spans="1:6" x14ac:dyDescent="0.2">
      <c r="A5">
        <v>1914</v>
      </c>
      <c r="B5">
        <v>0.628</v>
      </c>
      <c r="C5">
        <v>-2.1059999999999999</v>
      </c>
      <c r="D5">
        <v>-1.0886400000000001</v>
      </c>
    </row>
    <row r="6" spans="1:6" x14ac:dyDescent="0.2">
      <c r="A6">
        <v>1939</v>
      </c>
      <c r="B6">
        <v>0.48799999999999999</v>
      </c>
      <c r="C6">
        <v>-1.4630000000000001</v>
      </c>
      <c r="D6">
        <v>-0.67244000000000004</v>
      </c>
    </row>
    <row r="7" spans="1:6" x14ac:dyDescent="0.2">
      <c r="A7">
        <v>1959</v>
      </c>
      <c r="B7">
        <v>0.38600000000000001</v>
      </c>
      <c r="C7">
        <v>-0.93689999999999996</v>
      </c>
      <c r="D7">
        <v>-0.31158000000000002</v>
      </c>
    </row>
    <row r="8" spans="1:6" x14ac:dyDescent="0.2">
      <c r="A8">
        <v>1979</v>
      </c>
      <c r="B8">
        <v>0.4</v>
      </c>
      <c r="C8">
        <v>-0.23422999999999999</v>
      </c>
      <c r="D8">
        <v>0.41382000000000002</v>
      </c>
      <c r="E8">
        <v>-0.20399999999999999</v>
      </c>
      <c r="F8">
        <f>(E8-C7)*5</f>
        <v>3.6644999999999999</v>
      </c>
    </row>
    <row r="9" spans="1:6" x14ac:dyDescent="0.2">
      <c r="A9">
        <v>1999</v>
      </c>
      <c r="B9">
        <v>0.63822999999999996</v>
      </c>
      <c r="C9">
        <v>0.22256000000000001</v>
      </c>
      <c r="D9">
        <v>1.2565</v>
      </c>
    </row>
    <row r="10" spans="1:6" x14ac:dyDescent="0.2">
      <c r="A10">
        <v>2017</v>
      </c>
      <c r="B10">
        <v>0.67411399999999999</v>
      </c>
      <c r="C10">
        <v>0.57535999999999998</v>
      </c>
      <c r="D10">
        <v>1.6674</v>
      </c>
    </row>
    <row r="12" spans="1:6" x14ac:dyDescent="0.2">
      <c r="A12" t="s">
        <v>7</v>
      </c>
      <c r="B12" s="1">
        <f>100*(B6-B5)/25</f>
        <v>-0.56000000000000005</v>
      </c>
      <c r="C12" s="1">
        <f t="shared" ref="C12:D12" si="0">100*(C6-C5)/25</f>
        <v>2.5719999999999992</v>
      </c>
      <c r="D12" s="1">
        <f t="shared" si="0"/>
        <v>1.6648000000000003</v>
      </c>
      <c r="E12">
        <f>0.619*(D12-C12)</f>
        <v>-0.5615567999999993</v>
      </c>
    </row>
    <row r="13" spans="1:6" x14ac:dyDescent="0.2">
      <c r="A13" t="s">
        <v>8</v>
      </c>
      <c r="B13" s="1">
        <f>100*(B7-B6)/20</f>
        <v>-0.5099999999999999</v>
      </c>
      <c r="C13" s="1">
        <f t="shared" ref="C13:D13" si="1">100*(C7-C6)/20</f>
        <v>2.6305000000000005</v>
      </c>
      <c r="D13" s="1">
        <f t="shared" si="1"/>
        <v>1.8043</v>
      </c>
    </row>
    <row r="14" spans="1:6" x14ac:dyDescent="0.2">
      <c r="A14" t="s">
        <v>9</v>
      </c>
      <c r="B14" s="1">
        <f t="shared" ref="B14:D14" si="2">100*(B8-B7)/20</f>
        <v>7.0000000000000062E-2</v>
      </c>
      <c r="C14" s="1">
        <f t="shared" si="2"/>
        <v>3.51335</v>
      </c>
      <c r="D14" s="1">
        <f t="shared" si="2"/>
        <v>3.6270000000000002</v>
      </c>
    </row>
    <row r="15" spans="1:6" x14ac:dyDescent="0.2">
      <c r="A15" t="s">
        <v>10</v>
      </c>
      <c r="B15" s="1">
        <f t="shared" ref="B15:D15" si="3">100*(B9-B8)/20</f>
        <v>1.1911499999999997</v>
      </c>
      <c r="C15" s="1">
        <f t="shared" si="3"/>
        <v>2.2839499999999999</v>
      </c>
      <c r="D15" s="1">
        <f t="shared" si="3"/>
        <v>4.2133999999999991</v>
      </c>
    </row>
    <row r="16" spans="1:6" x14ac:dyDescent="0.2">
      <c r="A16" t="s">
        <v>11</v>
      </c>
      <c r="B16" s="1">
        <f>100*(B10-B9)/18</f>
        <v>0.1993555555555557</v>
      </c>
      <c r="C16" s="1">
        <f t="shared" ref="C16:D16" si="4">100*(C10-C9)/18</f>
        <v>1.96</v>
      </c>
      <c r="D16" s="1">
        <f t="shared" si="4"/>
        <v>2.282777777777778</v>
      </c>
    </row>
    <row r="17" spans="1:4" x14ac:dyDescent="0.2">
      <c r="A17" t="s">
        <v>15</v>
      </c>
      <c r="B17" s="1">
        <f>100*(B9-B5)/75</f>
        <v>1.3639999999999949E-2</v>
      </c>
      <c r="C17" s="1">
        <f t="shared" ref="C17:D17" si="5">100*(C9-C5)/75</f>
        <v>3.1047466666666668</v>
      </c>
      <c r="D17" s="1">
        <f t="shared" si="5"/>
        <v>3.126853333333333</v>
      </c>
    </row>
    <row r="18" spans="1:4" x14ac:dyDescent="0.2">
      <c r="A18" t="s">
        <v>14</v>
      </c>
      <c r="B18" s="1">
        <f>100*(B9-B7)/40</f>
        <v>0.63057499999999989</v>
      </c>
      <c r="C18" s="1">
        <f t="shared" ref="C18:D18" si="6">100*(C9-C7)/40</f>
        <v>2.8986499999999999</v>
      </c>
      <c r="D18" s="1">
        <f t="shared" si="6"/>
        <v>3.9201999999999999</v>
      </c>
    </row>
    <row r="19" spans="1:4" x14ac:dyDescent="0.2">
      <c r="A19" t="s">
        <v>17</v>
      </c>
      <c r="B19" s="1">
        <f>100*(B8-B6)/40</f>
        <v>-0.21999999999999992</v>
      </c>
      <c r="C19" s="1">
        <f t="shared" ref="C19:D19" si="7">100*(C8-C6)/40</f>
        <v>3.0719250000000002</v>
      </c>
      <c r="D19" s="1">
        <f t="shared" si="7"/>
        <v>2.7156500000000001</v>
      </c>
    </row>
    <row r="20" spans="1:4" x14ac:dyDescent="0.2">
      <c r="A20" t="s">
        <v>16</v>
      </c>
      <c r="B20" s="1">
        <f>100*(B10-B8)/38</f>
        <v>0.72135263157894725</v>
      </c>
      <c r="C20" s="1">
        <f t="shared" ref="C20:D20" si="8">100*(C10-C8)/38</f>
        <v>2.1305000000000001</v>
      </c>
      <c r="D20" s="1">
        <f t="shared" si="8"/>
        <v>3.2988947368421049</v>
      </c>
    </row>
    <row r="21" spans="1:4" x14ac:dyDescent="0.2">
      <c r="A21" t="s">
        <v>13</v>
      </c>
      <c r="B21" s="1">
        <f>100*(B10-B5)/103</f>
        <v>4.4770873786407754E-2</v>
      </c>
      <c r="C21" s="1">
        <f t="shared" ref="C21:D21" si="9">100*(C10-C5)/103</f>
        <v>2.6032621359223298</v>
      </c>
      <c r="D21" s="1">
        <f t="shared" si="9"/>
        <v>2.6757669902912622</v>
      </c>
    </row>
    <row r="22" spans="1:4" x14ac:dyDescent="0.2">
      <c r="A22" t="s">
        <v>12</v>
      </c>
    </row>
    <row r="25" spans="1:4" x14ac:dyDescent="0.2">
      <c r="A25" t="s">
        <v>18</v>
      </c>
      <c r="B25" s="2">
        <f>(B20-B19)</f>
        <v>0.94135263157894711</v>
      </c>
      <c r="C25" s="1">
        <f>(C20-C19)</f>
        <v>-0.94142500000000018</v>
      </c>
      <c r="D25" s="2">
        <f>(D20-D19)</f>
        <v>0.58324473684210476</v>
      </c>
    </row>
    <row r="26" spans="1:4" x14ac:dyDescent="0.2">
      <c r="A26" t="s">
        <v>19</v>
      </c>
      <c r="C26">
        <f>-0.619*C25</f>
        <v>0.58274207500000008</v>
      </c>
      <c r="D26">
        <f>(0.619*D25)</f>
        <v>0.36102849210526283</v>
      </c>
    </row>
    <row r="27" spans="1:4" x14ac:dyDescent="0.2">
      <c r="A27" t="s">
        <v>20</v>
      </c>
      <c r="C27">
        <f>(C26/B25)</f>
        <v>0.61904758689903128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Larry Katz</cp:lastModifiedBy>
  <dcterms:created xsi:type="dcterms:W3CDTF">2019-12-22T20:04:59Z</dcterms:created>
  <dcterms:modified xsi:type="dcterms:W3CDTF">2019-12-23T19:49:23Z</dcterms:modified>
</cp:coreProperties>
</file>